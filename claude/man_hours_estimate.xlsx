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-Hours Estim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<sst xmlns="http://schemas.openxmlformats.org/spreadsheetml/2006/main" count="141" uniqueCount="138">
  <si>
    <t xml:space="preserve">Pre-LLM Development Estimate: Space Visualization Project</t>
  </si>
  <si>
    <t xml:space="preserve">Estimated man-hours for a senior Three.js / WebGL developer (solo) — traditional development without AI assistance</t>
  </si>
  <si>
    <t xml:space="preserve">Component</t>
  </si>
  <si>
    <t xml:space="preserve">Low (hrs)</t>
  </si>
  <si>
    <t xml:space="preserve">High (hrs)</t>
  </si>
  <si>
    <t xml:space="preserve">Mid (hrs)</t>
  </si>
  <si>
    <t xml:space="preserve">Notes</t>
  </si>
  <si>
    <t xml:space="preserve">SOLAR SYSTEM MAP</t>
  </si>
  <si>
    <t xml:space="preserve">~2,700 lines • Single-file HTML/JS/CSS</t>
  </si>
  <si>
    <t xml:space="preserve">  Orbital mechanics (Kepler solver)</t>
  </si>
  <si>
    <t xml:space="preserve">Mean/eccentric anomaly, elliptical orbits, inclination, argument of perihelion</t>
  </si>
  <si>
    <t xml:space="preserve">  Asinh distance compression</t>
  </si>
  <si>
    <t xml:space="preserve">Custom non-linear scale with smooth near-origin behavior; lots of tuning</t>
  </si>
  <si>
    <t xml:space="preserve">  Procedural planet textures (×10 types)</t>
  </si>
  <si>
    <t xml:space="preserve">Earth continents+clouds, Jupiter bands+GRS, Saturn rings, ice giants, cratered, etc.</t>
  </si>
  <si>
    <t xml:space="preserve">  Sun rendering + glow layers</t>
  </si>
  <si>
    <t xml:space="preserve">Additive blending sprites, pulse animation, opacity management</t>
  </si>
  <si>
    <t xml:space="preserve">  3D navigator (orbit camera + flyTo)</t>
  </si>
  <si>
    <t xml:space="preserve">Smooth lerp, pitch/yaw, scroll zoom with log scaling, keyboard nav</t>
  </si>
  <si>
    <t xml:space="preserve">  Planet/moon/comet data entry</t>
  </si>
  <si>
    <t xml:space="preserve">34 bodies with orbital params, descriptions, classification, moon hierarchies</t>
  </si>
  <si>
    <t xml:space="preserve">  Particle belts (asteroid + Kuiper)</t>
  </si>
  <si>
    <t xml:space="preserve">Randomized particle distributions, proper orbital zone ranges</t>
  </si>
  <si>
    <t xml:space="preserve">  Comet tails + extreme orbits</t>
  </si>
  <si>
    <t xml:space="preserve">Tail sprites pointing away from Sun, near-parabolic orbit rendering, arc clamping</t>
  </si>
  <si>
    <t xml:space="preserve">  UI: info cards, HUD, minimap</t>
  </si>
  <si>
    <t xml:space="preserve">Photo-viewer card, live orbital coords, zoom indicator, canvas minimap</t>
  </si>
  <si>
    <t xml:space="preserve">  Tour system (scripted flythrough)</t>
  </si>
  <si>
    <t xml:space="preserve">Stop sequencing, narration, auto-advance, camera interpolation</t>
  </si>
  <si>
    <t xml:space="preserve">  Labels + hover tooltips</t>
  </si>
  <si>
    <t xml:space="preserve">Canvas text sprites, distance-adaptive scaling, raycaster hover</t>
  </si>
  <si>
    <t xml:space="preserve">  Layer toggle system</t>
  </si>
  <si>
    <t xml:space="preserve">Checkbox panel, visibility cascading through groups, keyboard shortcuts</t>
  </si>
  <si>
    <t xml:space="preserve">  Smart double-click (screen-space snap)</t>
  </si>
  <si>
    <t xml:space="preserve">Project all bodies to screen coords, find nearest, handle edge cases</t>
  </si>
  <si>
    <t xml:space="preserve">  Habitable zone visualization</t>
  </si>
  <si>
    <t xml:space="preserve">Annular ring at correct AU range, transparency, layer integration</t>
  </si>
  <si>
    <t xml:space="preserve">  Hill sphere visualization</t>
  </si>
  <si>
    <t xml:space="preserve">Per-planet gravity zones, wireframe + fill, real-time position tracking</t>
  </si>
  <si>
    <t xml:space="preserve">  Actual Size toggle</t>
  </si>
  <si>
    <t xml:space="preserve">Real AU radius math, render-loop override handling, educational UX</t>
  </si>
  <si>
    <t xml:space="preserve">  Help overlay + Log Truth overlay</t>
  </si>
  <si>
    <t xml:space="preserve">Styled popups, keyboard wiring, educational copy</t>
  </si>
  <si>
    <t xml:space="preserve">  Arrow key cycling + nav buttons</t>
  </si>
  <si>
    <t xml:space="preserve">Index tracking, flyTo integration, button wiring</t>
  </si>
  <si>
    <t xml:space="preserve">  Cross-browser testing + polish</t>
  </si>
  <si>
    <t xml:space="preserve">WebGL compat, touch events, mobile, performance optimization</t>
  </si>
  <si>
    <t xml:space="preserve">SOLAR SYSTEM SUBTOTAL</t>
  </si>
  <si>
    <t xml:space="preserve">MILKY WAY MAP</t>
  </si>
  <si>
    <t xml:space="preserve">~2,700 lines • Procedural galaxy with 80k+ particles</t>
  </si>
  <si>
    <t xml:space="preserve">  Galaxy structure (spiral arms algorithm)</t>
  </si>
  <si>
    <t xml:space="preserve">Logarithmic spiral math, arm count/width/winding, per-particle color variance</t>
  </si>
  <si>
    <t xml:space="preserve">  Galactic core + bar + bulge</t>
  </si>
  <si>
    <t xml:space="preserve">Core density distribution, bar geometry, dimming gradient</t>
  </si>
  <si>
    <t xml:space="preserve">  Background stars + disk fill particles</t>
  </si>
  <si>
    <t xml:space="preserve">Random distributions, GlowTexture map, depth/transparency handling</t>
  </si>
  <si>
    <t xml:space="preserve">  Notable stars data (40+ entries)</t>
  </si>
  <si>
    <t xml:space="preserve">Research, position estimation, descriptions, planet sub-entries, sky descriptions</t>
  </si>
  <si>
    <t xml:space="preserve">  Procedural star textures</t>
  </si>
  <si>
    <t xml:space="preserve">Per-spectral-type rendering, glow layers, size categories</t>
  </si>
  <si>
    <t xml:space="preserve">  3D navigator (reused + extended)</t>
  </si>
  <si>
    <t xml:space="preserve">Same orbit camera with galaxy-specific tuning, WASD nav (later removed)</t>
  </si>
  <si>
    <t xml:space="preserve">  Sector grid + coordinate grid</t>
  </si>
  <si>
    <t xml:space="preserve">Named galactic sectors, lat/long lines, toggle system</t>
  </si>
  <si>
    <t xml:space="preserve">  Photo-viewer card + star info</t>
  </si>
  <si>
    <t xml:space="preserve">Procedural star portrait, spectral class display, planet listings</t>
  </si>
  <si>
    <t xml:space="preserve">  Tour system (galaxy edition)</t>
  </si>
  <si>
    <t xml:space="preserve">Different stops, narration, galaxy-scale camera movements</t>
  </si>
  <si>
    <t xml:space="preserve">  Mode switcher (All/Planets/Stars)</t>
  </si>
  <si>
    <t xml:space="preserve">Filter logic, button UI, visibility cascading</t>
  </si>
  <si>
    <t xml:space="preserve">  Per-star distance scaling</t>
  </si>
  <si>
    <t xml:space="preserve">Camera-distance-based sprite scaling to prevent jitter (tricky bug fix)</t>
  </si>
  <si>
    <t xml:space="preserve">  depthWrite / transparency fixes</t>
  </si>
  <si>
    <t xml:space="preserve">Black box debugging, PointsMaterial configuration across 4 systems</t>
  </si>
  <si>
    <t xml:space="preserve">  Center dimming (radial fade)</t>
  </si>
  <si>
    <t xml:space="preserve">Vertex color modulation, core opacity reduction, smooth gradient</t>
  </si>
  <si>
    <t xml:space="preserve">  Smart double-click + arrow cycling</t>
  </si>
  <si>
    <t xml:space="preserve">Screen-space projection, selection tracking, UI buttons</t>
  </si>
  <si>
    <t xml:space="preserve">Scene traversal, PointsMaterial size override, sprite scaling</t>
  </si>
  <si>
    <t xml:space="preserve">  UI: layers, help, Log Truth, overlays</t>
  </si>
  <si>
    <t xml:space="preserve">Panel system, hotkeys, educational content</t>
  </si>
  <si>
    <t xml:space="preserve">Performance with 80k particles, WebGL limits, mobile</t>
  </si>
  <si>
    <t xml:space="preserve">MILKY WAY SUBTOTAL</t>
  </si>
  <si>
    <t xml:space="preserve">GALAXY EXPLORER MAP</t>
  </si>
  <si>
    <t xml:space="preserve">~1,400 lines • Real astronomical data, 50+ galaxies</t>
  </si>
  <si>
    <t xml:space="preserve">  Galaxy data research + entry</t>
  </si>
  <si>
    <t xml:space="preserve">RA/Dec/distance for 50+ galaxies, classifications, descriptions, image URLs</t>
  </si>
  <si>
    <t xml:space="preserve">  Sinh-compressed 3D positioning</t>
  </si>
  <si>
    <t xml:space="preserve">Convert RA/Dec/distance to 3D scene coords with distance compression</t>
  </si>
  <si>
    <t xml:space="preserve">  Procedural galaxy textures</t>
  </si>
  <si>
    <t xml:space="preserve">Per-morphology rendering (spiral, elliptical, irregular, lenticular)</t>
  </si>
  <si>
    <t xml:space="preserve">  RA/Dec grid + Mpc distance grid</t>
  </si>
  <si>
    <t xml:space="preserve">Astronomical coordinate overlays, distance shells, labels</t>
  </si>
  <si>
    <t xml:space="preserve">  Info panel + galaxy images</t>
  </si>
  <si>
    <t xml:space="preserve">Detail cards, Wikipedia image loading, pulsing detail indicators</t>
  </si>
  <si>
    <t xml:space="preserve">  Drunken tour (Elon's tour)</t>
  </si>
  <si>
    <t xml:space="preserve">Randomized flythrough with comedic narration banners</t>
  </si>
  <si>
    <t xml:space="preserve">  Navigator + smart double-click</t>
  </si>
  <si>
    <t xml:space="preserve">Orbit camera, plane intersection fallback, nearest-galaxy snap</t>
  </si>
  <si>
    <t xml:space="preserve">  Arrow cycling + nav buttons</t>
  </si>
  <si>
    <t xml:space="preserve">Galaxy index tracking, flyTo, button wiring</t>
  </si>
  <si>
    <t xml:space="preserve">  Help overlay + Log Truth + Actual Size</t>
  </si>
  <si>
    <t xml:space="preserve">Educational overlays, hotkeys, galaxy scaling toggle</t>
  </si>
  <si>
    <t xml:space="preserve">Lighter map but still WebGL + sprite management</t>
  </si>
  <si>
    <t xml:space="preserve">GALAXY EXPLORER SUBTOTAL</t>
  </si>
  <si>
    <t xml:space="preserve">CROSS-CUTTING WORK</t>
  </si>
  <si>
    <t xml:space="preserve">Shared across all three maps</t>
  </si>
  <si>
    <t xml:space="preserve">  Architecture + project setup</t>
  </si>
  <si>
    <t xml:space="preserve">File structure decisions, CDN management, shared patterns</t>
  </si>
  <si>
    <t xml:space="preserve">  Cross-map navigation links</t>
  </si>
  <si>
    <t xml:space="preserve">Consistent link bar, styling, placement</t>
  </si>
  <si>
    <t xml:space="preserve">  Consistent UX patterns</t>
  </si>
  <si>
    <t xml:space="preserve">Help button style, green glow animation, overlay patterns, hotkey conventions</t>
  </si>
  <si>
    <t xml:space="preserve">  Bug investigation + debugging</t>
  </si>
  <si>
    <t xml:space="preserve">Black hole Sun, flyTo targeting (0,0,0), depth buffer issues, jitter, etc.</t>
  </si>
  <si>
    <t xml:space="preserve">  Iterative design feedback loops</t>
  </si>
  <si>
    <t xml:space="preserve">Back-and-forth with stakeholder on dimming, zoom distances, label placement</t>
  </si>
  <si>
    <t xml:space="preserve">  Research + fact-checking</t>
  </si>
  <si>
    <t xml:space="preserve">Orbital parameters, star positions, galaxy distances, educational accuracy</t>
  </si>
  <si>
    <t xml:space="preserve">CROSS-CUTTING SUBTOTAL</t>
  </si>
  <si>
    <t xml:space="preserve">GRAND TOTAL (ALL THREE MAPS)</t>
  </si>
  <si>
    <t xml:space="preserve">COST ESTIMATES</t>
  </si>
  <si>
    <t xml:space="preserve">  Solo senior dev ($125/hr)</t>
  </si>
  <si>
    <t xml:space="preserve">US market rate for senior Three.js/WebGL specialist</t>
  </si>
  <si>
    <t xml:space="preserve">  Small team (dev+designer+advisor)</t>
  </si>
  <si>
    <t xml:space="preserve">Blended rate including design &amp; science review</t>
  </si>
  <si>
    <t xml:space="preserve">  Agency / contractor shop</t>
  </si>
  <si>
    <t xml:space="preserve">Typical agency rate with PM overhead</t>
  </si>
  <si>
    <t xml:space="preserve">TIMELINE ESTIMATES</t>
  </si>
  <si>
    <t xml:space="preserve">  Solo dev (full-time)</t>
  </si>
  <si>
    <t xml:space="preserve">Months at 160 hrs/month — no vacations, no context switching</t>
  </si>
  <si>
    <t xml:space="preserve">  Small team (2-3 people)</t>
  </si>
  <si>
    <t xml:space="preserve">Months with parallelism but communication overhead</t>
  </si>
  <si>
    <t xml:space="preserve">  With LLM assistance (this project)</t>
  </si>
  <si>
    <t xml:space="preserve">~20</t>
  </si>
  <si>
    <t xml:space="preserve">hrs total</t>
  </si>
  <si>
    <t xml:space="preserve">~20 hours of conversation over a few sessions</t>
  </si>
  <si>
    <t xml:space="preserve">Speedup factor: ~60-80× compared to traditional development. The iterative design loop (dimming, zoom tuning, bug hunting, educational features) accounts for most of the savings.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</si>
</sst>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&quot; months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DDAA55"/>
      <name val="Arial"/>
      <family val="0"/>
      <charset val="1"/>
    </font>
    <font>
      <i val="true"/>
      <sz val="10"/>
      <color rgb="FF778899"/>
      <name val="Arial"/>
      <family val="0"/>
      <charset val="1"/>
    </font>
    <font>
      <b val="true"/>
      <sz val="11"/>
      <color rgb="FFDDAA55"/>
      <name val="Arial"/>
      <family val="0"/>
      <charset val="1"/>
    </font>
    <font>
      <b val="true"/>
      <sz val="12"/>
      <color rgb="FFAACCFF"/>
      <name val="Arial"/>
      <family val="0"/>
      <charset val="1"/>
    </font>
    <font>
      <sz val="11"/>
      <color rgb="FFFFFFFF"/>
      <name val="Arial"/>
      <family val="0"/>
      <charset val="1"/>
    </font>
    <font>
      <sz val="11"/>
      <color rgb="FF6699C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CC44"/>
      <name val="Arial"/>
      <family val="0"/>
      <charset val="1"/>
    </font>
    <font>
      <sz val="11"/>
      <color rgb="FF66AA66"/>
      <name val="Arial"/>
      <family val="0"/>
      <charset val="1"/>
    </font>
    <font>
      <b val="true"/>
      <sz val="11"/>
      <color rgb="FF66AA66"/>
      <name val="Arial"/>
      <family val="0"/>
      <charset val="1"/>
    </font>
    <font>
      <sz val="11"/>
      <color rgb="FFCC8844"/>
      <name val="Arial"/>
      <family val="0"/>
      <charset val="1"/>
    </font>
    <font>
      <b val="true"/>
      <sz val="11"/>
      <color rgb="FFCC8844"/>
      <name val="Arial"/>
      <family val="0"/>
      <charset val="1"/>
    </font>
    <font>
      <b val="true"/>
      <sz val="11"/>
      <color rgb="FF44DD44"/>
      <name val="Arial"/>
      <family val="0"/>
      <charset val="1"/>
    </font>
    <font>
      <i val="true"/>
      <sz val="10"/>
      <color rgb="FF55667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2744"/>
        <bgColor rgb="FF1E2D47"/>
      </patternFill>
    </fill>
    <fill>
      <patternFill patternType="solid">
        <fgColor rgb="FF253352"/>
        <bgColor rgb="FF1E2D47"/>
      </patternFill>
    </fill>
    <fill>
      <patternFill patternType="solid">
        <fgColor rgb="FF1E2D47"/>
        <bgColor rgb="FF1A2744"/>
      </patternFill>
    </fill>
    <fill>
      <patternFill patternType="solid">
        <fgColor rgb="FF2A1A0A"/>
        <bgColor rgb="FF3A2200"/>
      </patternFill>
    </fill>
    <fill>
      <patternFill patternType="solid">
        <fgColor rgb="FF3A2200"/>
        <bgColor rgb="FF2A1A0A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4455"/>
      </bottom>
      <diagonal/>
    </border>
    <border diagonalUp="false" diagonalDown="false">
      <left/>
      <right/>
      <top style="thin">
        <color rgb="FFDDAA55"/>
      </top>
      <bottom style="thin">
        <color rgb="FFDDAA55"/>
      </bottom>
      <diagonal/>
    </border>
    <border diagonalUp="false" diagonalDown="false">
      <left/>
      <right/>
      <top style="medium">
        <color rgb="FFFFCC44"/>
      </top>
      <bottom style="medium">
        <color rgb="FFFFCC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8899"/>
      <rgbColor rgb="FF9999FF"/>
      <rgbColor rgb="FF993366"/>
      <rgbColor rgb="FFFFFFCC"/>
      <rgbColor rgb="FFCCFFFF"/>
      <rgbColor rgb="FF2A1A0A"/>
      <rgbColor rgb="FFCC884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ACCFF"/>
      <rgbColor rgb="FFFF99CC"/>
      <rgbColor rgb="FFCC99FF"/>
      <rgbColor rgb="FFFFCC99"/>
      <rgbColor rgb="FF3366FF"/>
      <rgbColor rgb="FF44DD44"/>
      <rgbColor rgb="FF99CC00"/>
      <rgbColor rgb="FFFFCC44"/>
      <rgbColor rgb="FFDDAA55"/>
      <rgbColor rgb="FFFF6600"/>
      <rgbColor rgb="FF556677"/>
      <rgbColor rgb="FF6699CC"/>
      <rgbColor rgb="FF1E2D47"/>
      <rgbColor rgb="FF66AA66"/>
      <rgbColor rgb="FF1A2744"/>
      <rgbColor rgb="FF3A2200"/>
      <rgbColor rgb="FF993300"/>
      <rgbColor rgb="FF993366"/>
      <rgbColor rgb="FF334455"/>
      <rgbColor rgb="FF2533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744"/>
    <pageSetUpPr fitToPage="false"/>
  </sheetPr>
  <dimension ref="A1:E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4"/>
    <col collapsed="false" customWidth="true" hidden="false" outlineLevel="0" max="5" min="5" style="0" width="4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27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3" t="s">
        <v>6</v>
      </c>
    </row>
    <row r="5" customFormat="false" ht="27.75" hidden="false" customHeight="true" outlineLevel="0" collapsed="false">
      <c r="A5" s="5" t="s">
        <v>7</v>
      </c>
      <c r="B5" s="5"/>
      <c r="C5" s="5"/>
      <c r="D5" s="5"/>
      <c r="E5" s="6" t="s">
        <v>8</v>
      </c>
    </row>
    <row r="6" customFormat="false" ht="31.5" hidden="false" customHeight="true" outlineLevel="0" collapsed="false">
      <c r="A6" s="7" t="s">
        <v>9</v>
      </c>
      <c r="B6" s="8" t="n">
        <v>40</v>
      </c>
      <c r="C6" s="8" t="n">
        <v>60</v>
      </c>
      <c r="D6" s="9" t="n">
        <f aca="false">ROUND(AVERAGE(B6,C6),0)</f>
        <v>50</v>
      </c>
      <c r="E6" s="10" t="s">
        <v>10</v>
      </c>
    </row>
    <row r="7" customFormat="false" ht="31.5" hidden="false" customHeight="true" outlineLevel="0" collapsed="false">
      <c r="A7" s="7" t="s">
        <v>11</v>
      </c>
      <c r="B7" s="8" t="n">
        <v>12</v>
      </c>
      <c r="C7" s="8" t="n">
        <v>20</v>
      </c>
      <c r="D7" s="9" t="n">
        <f aca="false">ROUND(AVERAGE(B7,C7),0)</f>
        <v>16</v>
      </c>
      <c r="E7" s="10" t="s">
        <v>12</v>
      </c>
    </row>
    <row r="8" customFormat="false" ht="31.5" hidden="false" customHeight="true" outlineLevel="0" collapsed="false">
      <c r="A8" s="7" t="s">
        <v>13</v>
      </c>
      <c r="B8" s="8" t="n">
        <v>60</v>
      </c>
      <c r="C8" s="8" t="n">
        <v>100</v>
      </c>
      <c r="D8" s="9" t="n">
        <f aca="false">ROUND(AVERAGE(B8,C8),0)</f>
        <v>80</v>
      </c>
      <c r="E8" s="10" t="s">
        <v>14</v>
      </c>
    </row>
    <row r="9" customFormat="false" ht="31.5" hidden="false" customHeight="true" outlineLevel="0" collapsed="false">
      <c r="A9" s="7" t="s">
        <v>15</v>
      </c>
      <c r="B9" s="8" t="n">
        <v>8</v>
      </c>
      <c r="C9" s="8" t="n">
        <v>16</v>
      </c>
      <c r="D9" s="9" t="n">
        <f aca="false">ROUND(AVERAGE(B9,C9),0)</f>
        <v>12</v>
      </c>
      <c r="E9" s="10" t="s">
        <v>16</v>
      </c>
    </row>
    <row r="10" customFormat="false" ht="31.5" hidden="false" customHeight="true" outlineLevel="0" collapsed="false">
      <c r="A10" s="7" t="s">
        <v>17</v>
      </c>
      <c r="B10" s="8" t="n">
        <v>24</v>
      </c>
      <c r="C10" s="8" t="n">
        <v>40</v>
      </c>
      <c r="D10" s="9" t="n">
        <f aca="false">ROUND(AVERAGE(B10,C10),0)</f>
        <v>32</v>
      </c>
      <c r="E10" s="10" t="s">
        <v>18</v>
      </c>
    </row>
    <row r="11" customFormat="false" ht="31.5" hidden="false" customHeight="true" outlineLevel="0" collapsed="false">
      <c r="A11" s="7" t="s">
        <v>19</v>
      </c>
      <c r="B11" s="8" t="n">
        <v>16</v>
      </c>
      <c r="C11" s="8" t="n">
        <v>24</v>
      </c>
      <c r="D11" s="9" t="n">
        <f aca="false">ROUND(AVERAGE(B11,C11),0)</f>
        <v>20</v>
      </c>
      <c r="E11" s="10" t="s">
        <v>20</v>
      </c>
    </row>
    <row r="12" customFormat="false" ht="31.5" hidden="false" customHeight="true" outlineLevel="0" collapsed="false">
      <c r="A12" s="7" t="s">
        <v>21</v>
      </c>
      <c r="B12" s="8" t="n">
        <v>8</v>
      </c>
      <c r="C12" s="8" t="n">
        <v>12</v>
      </c>
      <c r="D12" s="9" t="n">
        <f aca="false">ROUND(AVERAGE(B12,C12),0)</f>
        <v>10</v>
      </c>
      <c r="E12" s="10" t="s">
        <v>22</v>
      </c>
    </row>
    <row r="13" customFormat="false" ht="31.5" hidden="false" customHeight="true" outlineLevel="0" collapsed="false">
      <c r="A13" s="7" t="s">
        <v>23</v>
      </c>
      <c r="B13" s="8" t="n">
        <v>12</v>
      </c>
      <c r="C13" s="8" t="n">
        <v>20</v>
      </c>
      <c r="D13" s="9" t="n">
        <f aca="false">ROUND(AVERAGE(B13,C13),0)</f>
        <v>16</v>
      </c>
      <c r="E13" s="10" t="s">
        <v>24</v>
      </c>
    </row>
    <row r="14" customFormat="false" ht="31.5" hidden="false" customHeight="true" outlineLevel="0" collapsed="false">
      <c r="A14" s="7" t="s">
        <v>25</v>
      </c>
      <c r="B14" s="8" t="n">
        <v>24</v>
      </c>
      <c r="C14" s="8" t="n">
        <v>40</v>
      </c>
      <c r="D14" s="9" t="n">
        <f aca="false">ROUND(AVERAGE(B14,C14),0)</f>
        <v>32</v>
      </c>
      <c r="E14" s="10" t="s">
        <v>26</v>
      </c>
    </row>
    <row r="15" customFormat="false" ht="31.5" hidden="false" customHeight="true" outlineLevel="0" collapsed="false">
      <c r="A15" s="7" t="s">
        <v>27</v>
      </c>
      <c r="B15" s="8" t="n">
        <v>20</v>
      </c>
      <c r="C15" s="8" t="n">
        <v>32</v>
      </c>
      <c r="D15" s="9" t="n">
        <f aca="false">ROUND(AVERAGE(B15,C15),0)</f>
        <v>26</v>
      </c>
      <c r="E15" s="10" t="s">
        <v>28</v>
      </c>
    </row>
    <row r="16" customFormat="false" ht="31.5" hidden="false" customHeight="true" outlineLevel="0" collapsed="false">
      <c r="A16" s="7" t="s">
        <v>29</v>
      </c>
      <c r="B16" s="8" t="n">
        <v>8</v>
      </c>
      <c r="C16" s="8" t="n">
        <v>12</v>
      </c>
      <c r="D16" s="9" t="n">
        <f aca="false">ROUND(AVERAGE(B16,C16),0)</f>
        <v>10</v>
      </c>
      <c r="E16" s="10" t="s">
        <v>30</v>
      </c>
    </row>
    <row r="17" customFormat="false" ht="31.5" hidden="false" customHeight="true" outlineLevel="0" collapsed="false">
      <c r="A17" s="7" t="s">
        <v>31</v>
      </c>
      <c r="B17" s="8" t="n">
        <v>6</v>
      </c>
      <c r="C17" s="8" t="n">
        <v>10</v>
      </c>
      <c r="D17" s="9" t="n">
        <f aca="false">ROUND(AVERAGE(B17,C17),0)</f>
        <v>8</v>
      </c>
      <c r="E17" s="10" t="s">
        <v>32</v>
      </c>
    </row>
    <row r="18" customFormat="false" ht="31.5" hidden="false" customHeight="true" outlineLevel="0" collapsed="false">
      <c r="A18" s="7" t="s">
        <v>33</v>
      </c>
      <c r="B18" s="8" t="n">
        <v>8</v>
      </c>
      <c r="C18" s="8" t="n">
        <v>16</v>
      </c>
      <c r="D18" s="9" t="n">
        <f aca="false">ROUND(AVERAGE(B18,C18),0)</f>
        <v>12</v>
      </c>
      <c r="E18" s="10" t="s">
        <v>34</v>
      </c>
    </row>
    <row r="19" customFormat="false" ht="31.5" hidden="false" customHeight="true" outlineLevel="0" collapsed="false">
      <c r="A19" s="7" t="s">
        <v>35</v>
      </c>
      <c r="B19" s="8" t="n">
        <v>4</v>
      </c>
      <c r="C19" s="8" t="n">
        <v>6</v>
      </c>
      <c r="D19" s="9" t="n">
        <f aca="false">ROUND(AVERAGE(B19,C19),0)</f>
        <v>5</v>
      </c>
      <c r="E19" s="10" t="s">
        <v>36</v>
      </c>
    </row>
    <row r="20" customFormat="false" ht="31.5" hidden="false" customHeight="true" outlineLevel="0" collapsed="false">
      <c r="A20" s="7" t="s">
        <v>37</v>
      </c>
      <c r="B20" s="8" t="n">
        <v>12</v>
      </c>
      <c r="C20" s="8" t="n">
        <v>20</v>
      </c>
      <c r="D20" s="9" t="n">
        <f aca="false">ROUND(AVERAGE(B20,C20),0)</f>
        <v>16</v>
      </c>
      <c r="E20" s="10" t="s">
        <v>38</v>
      </c>
    </row>
    <row r="21" customFormat="false" ht="31.5" hidden="false" customHeight="true" outlineLevel="0" collapsed="false">
      <c r="A21" s="7" t="s">
        <v>39</v>
      </c>
      <c r="B21" s="8" t="n">
        <v>8</v>
      </c>
      <c r="C21" s="8" t="n">
        <v>16</v>
      </c>
      <c r="D21" s="9" t="n">
        <f aca="false">ROUND(AVERAGE(B21,C21),0)</f>
        <v>12</v>
      </c>
      <c r="E21" s="10" t="s">
        <v>40</v>
      </c>
    </row>
    <row r="22" customFormat="false" ht="31.5" hidden="false" customHeight="true" outlineLevel="0" collapsed="false">
      <c r="A22" s="7" t="s">
        <v>41</v>
      </c>
      <c r="B22" s="8" t="n">
        <v>6</v>
      </c>
      <c r="C22" s="8" t="n">
        <v>10</v>
      </c>
      <c r="D22" s="9" t="n">
        <f aca="false">ROUND(AVERAGE(B22,C22),0)</f>
        <v>8</v>
      </c>
      <c r="E22" s="10" t="s">
        <v>42</v>
      </c>
    </row>
    <row r="23" customFormat="false" ht="31.5" hidden="false" customHeight="true" outlineLevel="0" collapsed="false">
      <c r="A23" s="7" t="s">
        <v>43</v>
      </c>
      <c r="B23" s="8" t="n">
        <v>4</v>
      </c>
      <c r="C23" s="8" t="n">
        <v>8</v>
      </c>
      <c r="D23" s="9" t="n">
        <f aca="false">ROUND(AVERAGE(B23,C23),0)</f>
        <v>6</v>
      </c>
      <c r="E23" s="10" t="s">
        <v>44</v>
      </c>
    </row>
    <row r="24" customFormat="false" ht="31.5" hidden="false" customHeight="true" outlineLevel="0" collapsed="false">
      <c r="A24" s="7" t="s">
        <v>45</v>
      </c>
      <c r="B24" s="8" t="n">
        <v>16</v>
      </c>
      <c r="C24" s="8" t="n">
        <v>24</v>
      </c>
      <c r="D24" s="9" t="n">
        <f aca="false">ROUND(AVERAGE(B24,C24),0)</f>
        <v>20</v>
      </c>
      <c r="E24" s="10" t="s">
        <v>46</v>
      </c>
    </row>
    <row r="25" customFormat="false" ht="25.5" hidden="false" customHeight="true" outlineLevel="0" collapsed="false">
      <c r="A25" s="11" t="s">
        <v>47</v>
      </c>
      <c r="B25" s="11" t="n">
        <f aca="false">SUM(B6:B24)</f>
        <v>296</v>
      </c>
      <c r="C25" s="11" t="n">
        <f aca="false">SUM(C6:C24)</f>
        <v>486</v>
      </c>
      <c r="D25" s="11" t="n">
        <f aca="false">ROUND(AVERAGE(B25,C25),0)</f>
        <v>391</v>
      </c>
      <c r="E25" s="12"/>
    </row>
    <row r="26" customFormat="false" ht="9.75" hidden="false" customHeight="true" outlineLevel="0" collapsed="false"/>
    <row r="27" customFormat="false" ht="27.75" hidden="false" customHeight="true" outlineLevel="0" collapsed="false">
      <c r="A27" s="5" t="s">
        <v>48</v>
      </c>
      <c r="B27" s="5"/>
      <c r="C27" s="5"/>
      <c r="D27" s="5"/>
      <c r="E27" s="6" t="s">
        <v>49</v>
      </c>
    </row>
    <row r="28" customFormat="false" ht="31.5" hidden="false" customHeight="true" outlineLevel="0" collapsed="false">
      <c r="A28" s="7" t="s">
        <v>50</v>
      </c>
      <c r="B28" s="8" t="n">
        <v>32</v>
      </c>
      <c r="C28" s="8" t="n">
        <v>48</v>
      </c>
      <c r="D28" s="9" t="n">
        <f aca="false">ROUND(AVERAGE(B28,C28),0)</f>
        <v>40</v>
      </c>
      <c r="E28" s="10" t="s">
        <v>51</v>
      </c>
    </row>
    <row r="29" customFormat="false" ht="31.5" hidden="false" customHeight="true" outlineLevel="0" collapsed="false">
      <c r="A29" s="7" t="s">
        <v>52</v>
      </c>
      <c r="B29" s="8" t="n">
        <v>16</v>
      </c>
      <c r="C29" s="8" t="n">
        <v>24</v>
      </c>
      <c r="D29" s="9" t="n">
        <f aca="false">ROUND(AVERAGE(B29,C29),0)</f>
        <v>20</v>
      </c>
      <c r="E29" s="10" t="s">
        <v>53</v>
      </c>
    </row>
    <row r="30" customFormat="false" ht="31.5" hidden="false" customHeight="true" outlineLevel="0" collapsed="false">
      <c r="A30" s="7" t="s">
        <v>54</v>
      </c>
      <c r="B30" s="8" t="n">
        <v>12</v>
      </c>
      <c r="C30" s="8" t="n">
        <v>20</v>
      </c>
      <c r="D30" s="9" t="n">
        <f aca="false">ROUND(AVERAGE(B30,C30),0)</f>
        <v>16</v>
      </c>
      <c r="E30" s="10" t="s">
        <v>55</v>
      </c>
    </row>
    <row r="31" customFormat="false" ht="31.5" hidden="false" customHeight="true" outlineLevel="0" collapsed="false">
      <c r="A31" s="7" t="s">
        <v>56</v>
      </c>
      <c r="B31" s="8" t="n">
        <v>24</v>
      </c>
      <c r="C31" s="8" t="n">
        <v>40</v>
      </c>
      <c r="D31" s="9" t="n">
        <f aca="false">ROUND(AVERAGE(B31,C31),0)</f>
        <v>32</v>
      </c>
      <c r="E31" s="10" t="s">
        <v>57</v>
      </c>
    </row>
    <row r="32" customFormat="false" ht="31.5" hidden="false" customHeight="true" outlineLevel="0" collapsed="false">
      <c r="A32" s="7" t="s">
        <v>58</v>
      </c>
      <c r="B32" s="8" t="n">
        <v>16</v>
      </c>
      <c r="C32" s="8" t="n">
        <v>24</v>
      </c>
      <c r="D32" s="9" t="n">
        <f aca="false">ROUND(AVERAGE(B32,C32),0)</f>
        <v>20</v>
      </c>
      <c r="E32" s="10" t="s">
        <v>59</v>
      </c>
    </row>
    <row r="33" customFormat="false" ht="31.5" hidden="false" customHeight="true" outlineLevel="0" collapsed="false">
      <c r="A33" s="7" t="s">
        <v>60</v>
      </c>
      <c r="B33" s="8" t="n">
        <v>12</v>
      </c>
      <c r="C33" s="8" t="n">
        <v>20</v>
      </c>
      <c r="D33" s="9" t="n">
        <f aca="false">ROUND(AVERAGE(B33,C33),0)</f>
        <v>16</v>
      </c>
      <c r="E33" s="10" t="s">
        <v>61</v>
      </c>
    </row>
    <row r="34" customFormat="false" ht="31.5" hidden="false" customHeight="true" outlineLevel="0" collapsed="false">
      <c r="A34" s="7" t="s">
        <v>62</v>
      </c>
      <c r="B34" s="8" t="n">
        <v>12</v>
      </c>
      <c r="C34" s="8" t="n">
        <v>20</v>
      </c>
      <c r="D34" s="9" t="n">
        <f aca="false">ROUND(AVERAGE(B34,C34),0)</f>
        <v>16</v>
      </c>
      <c r="E34" s="10" t="s">
        <v>63</v>
      </c>
    </row>
    <row r="35" customFormat="false" ht="31.5" hidden="false" customHeight="true" outlineLevel="0" collapsed="false">
      <c r="A35" s="7" t="s">
        <v>64</v>
      </c>
      <c r="B35" s="8" t="n">
        <v>16</v>
      </c>
      <c r="C35" s="8" t="n">
        <v>24</v>
      </c>
      <c r="D35" s="9" t="n">
        <f aca="false">ROUND(AVERAGE(B35,C35),0)</f>
        <v>20</v>
      </c>
      <c r="E35" s="10" t="s">
        <v>65</v>
      </c>
    </row>
    <row r="36" customFormat="false" ht="31.5" hidden="false" customHeight="true" outlineLevel="0" collapsed="false">
      <c r="A36" s="7" t="s">
        <v>66</v>
      </c>
      <c r="B36" s="8" t="n">
        <v>16</v>
      </c>
      <c r="C36" s="8" t="n">
        <v>24</v>
      </c>
      <c r="D36" s="9" t="n">
        <f aca="false">ROUND(AVERAGE(B36,C36),0)</f>
        <v>20</v>
      </c>
      <c r="E36" s="10" t="s">
        <v>67</v>
      </c>
    </row>
    <row r="37" customFormat="false" ht="31.5" hidden="false" customHeight="true" outlineLevel="0" collapsed="false">
      <c r="A37" s="7" t="s">
        <v>68</v>
      </c>
      <c r="B37" s="8" t="n">
        <v>8</v>
      </c>
      <c r="C37" s="8" t="n">
        <v>12</v>
      </c>
      <c r="D37" s="9" t="n">
        <f aca="false">ROUND(AVERAGE(B37,C37),0)</f>
        <v>10</v>
      </c>
      <c r="E37" s="10" t="s">
        <v>69</v>
      </c>
    </row>
    <row r="38" customFormat="false" ht="31.5" hidden="false" customHeight="true" outlineLevel="0" collapsed="false">
      <c r="A38" s="7" t="s">
        <v>70</v>
      </c>
      <c r="B38" s="8" t="n">
        <v>8</v>
      </c>
      <c r="C38" s="8" t="n">
        <v>12</v>
      </c>
      <c r="D38" s="9" t="n">
        <f aca="false">ROUND(AVERAGE(B38,C38),0)</f>
        <v>10</v>
      </c>
      <c r="E38" s="10" t="s">
        <v>71</v>
      </c>
    </row>
    <row r="39" customFormat="false" ht="31.5" hidden="false" customHeight="true" outlineLevel="0" collapsed="false">
      <c r="A39" s="7" t="s">
        <v>72</v>
      </c>
      <c r="B39" s="8" t="n">
        <v>8</v>
      </c>
      <c r="C39" s="8" t="n">
        <v>16</v>
      </c>
      <c r="D39" s="9" t="n">
        <f aca="false">ROUND(AVERAGE(B39,C39),0)</f>
        <v>12</v>
      </c>
      <c r="E39" s="10" t="s">
        <v>73</v>
      </c>
    </row>
    <row r="40" customFormat="false" ht="31.5" hidden="false" customHeight="true" outlineLevel="0" collapsed="false">
      <c r="A40" s="7" t="s">
        <v>74</v>
      </c>
      <c r="B40" s="8" t="n">
        <v>6</v>
      </c>
      <c r="C40" s="8" t="n">
        <v>10</v>
      </c>
      <c r="D40" s="9" t="n">
        <f aca="false">ROUND(AVERAGE(B40,C40),0)</f>
        <v>8</v>
      </c>
      <c r="E40" s="10" t="s">
        <v>75</v>
      </c>
    </row>
    <row r="41" customFormat="false" ht="31.5" hidden="false" customHeight="true" outlineLevel="0" collapsed="false">
      <c r="A41" s="7" t="s">
        <v>76</v>
      </c>
      <c r="B41" s="8" t="n">
        <v>8</v>
      </c>
      <c r="C41" s="8" t="n">
        <v>12</v>
      </c>
      <c r="D41" s="9" t="n">
        <f aca="false">ROUND(AVERAGE(B41,C41),0)</f>
        <v>10</v>
      </c>
      <c r="E41" s="10" t="s">
        <v>77</v>
      </c>
    </row>
    <row r="42" customFormat="false" ht="31.5" hidden="false" customHeight="true" outlineLevel="0" collapsed="false">
      <c r="A42" s="7" t="s">
        <v>39</v>
      </c>
      <c r="B42" s="8" t="n">
        <v>6</v>
      </c>
      <c r="C42" s="8" t="n">
        <v>10</v>
      </c>
      <c r="D42" s="9" t="n">
        <f aca="false">ROUND(AVERAGE(B42,C42),0)</f>
        <v>8</v>
      </c>
      <c r="E42" s="10" t="s">
        <v>78</v>
      </c>
    </row>
    <row r="43" customFormat="false" ht="31.5" hidden="false" customHeight="true" outlineLevel="0" collapsed="false">
      <c r="A43" s="7" t="s">
        <v>79</v>
      </c>
      <c r="B43" s="8" t="n">
        <v>10</v>
      </c>
      <c r="C43" s="8" t="n">
        <v>16</v>
      </c>
      <c r="D43" s="9" t="n">
        <f aca="false">ROUND(AVERAGE(B43,C43),0)</f>
        <v>13</v>
      </c>
      <c r="E43" s="10" t="s">
        <v>80</v>
      </c>
    </row>
    <row r="44" customFormat="false" ht="31.5" hidden="false" customHeight="true" outlineLevel="0" collapsed="false">
      <c r="A44" s="7" t="s">
        <v>45</v>
      </c>
      <c r="B44" s="8" t="n">
        <v>12</v>
      </c>
      <c r="C44" s="8" t="n">
        <v>20</v>
      </c>
      <c r="D44" s="9" t="n">
        <f aca="false">ROUND(AVERAGE(B44,C44),0)</f>
        <v>16</v>
      </c>
      <c r="E44" s="10" t="s">
        <v>81</v>
      </c>
    </row>
    <row r="45" customFormat="false" ht="25.5" hidden="false" customHeight="true" outlineLevel="0" collapsed="false">
      <c r="A45" s="11" t="s">
        <v>82</v>
      </c>
      <c r="B45" s="11" t="n">
        <f aca="false">SUM(B28:B44)</f>
        <v>222</v>
      </c>
      <c r="C45" s="11" t="n">
        <f aca="false">SUM(C28:C44)</f>
        <v>352</v>
      </c>
      <c r="D45" s="11" t="n">
        <f aca="false">ROUND(AVERAGE(B45,C45),0)</f>
        <v>287</v>
      </c>
      <c r="E45" s="12"/>
    </row>
    <row r="46" customFormat="false" ht="9.75" hidden="false" customHeight="true" outlineLevel="0" collapsed="false"/>
    <row r="47" customFormat="false" ht="27.75" hidden="false" customHeight="true" outlineLevel="0" collapsed="false">
      <c r="A47" s="5" t="s">
        <v>83</v>
      </c>
      <c r="B47" s="5"/>
      <c r="C47" s="5"/>
      <c r="D47" s="5"/>
      <c r="E47" s="6" t="s">
        <v>84</v>
      </c>
    </row>
    <row r="48" customFormat="false" ht="31.5" hidden="false" customHeight="true" outlineLevel="0" collapsed="false">
      <c r="A48" s="7" t="s">
        <v>85</v>
      </c>
      <c r="B48" s="8" t="n">
        <v>20</v>
      </c>
      <c r="C48" s="8" t="n">
        <v>32</v>
      </c>
      <c r="D48" s="9" t="n">
        <f aca="false">ROUND(AVERAGE(B48,C48),0)</f>
        <v>26</v>
      </c>
      <c r="E48" s="10" t="s">
        <v>86</v>
      </c>
    </row>
    <row r="49" customFormat="false" ht="31.5" hidden="false" customHeight="true" outlineLevel="0" collapsed="false">
      <c r="A49" s="7" t="s">
        <v>87</v>
      </c>
      <c r="B49" s="8" t="n">
        <v>12</v>
      </c>
      <c r="C49" s="8" t="n">
        <v>20</v>
      </c>
      <c r="D49" s="9" t="n">
        <f aca="false">ROUND(AVERAGE(B49,C49),0)</f>
        <v>16</v>
      </c>
      <c r="E49" s="10" t="s">
        <v>88</v>
      </c>
    </row>
    <row r="50" customFormat="false" ht="31.5" hidden="false" customHeight="true" outlineLevel="0" collapsed="false">
      <c r="A50" s="7" t="s">
        <v>89</v>
      </c>
      <c r="B50" s="8" t="n">
        <v>16</v>
      </c>
      <c r="C50" s="8" t="n">
        <v>24</v>
      </c>
      <c r="D50" s="9" t="n">
        <f aca="false">ROUND(AVERAGE(B50,C50),0)</f>
        <v>20</v>
      </c>
      <c r="E50" s="10" t="s">
        <v>90</v>
      </c>
    </row>
    <row r="51" customFormat="false" ht="31.5" hidden="false" customHeight="true" outlineLevel="0" collapsed="false">
      <c r="A51" s="7" t="s">
        <v>91</v>
      </c>
      <c r="B51" s="8" t="n">
        <v>12</v>
      </c>
      <c r="C51" s="8" t="n">
        <v>20</v>
      </c>
      <c r="D51" s="9" t="n">
        <f aca="false">ROUND(AVERAGE(B51,C51),0)</f>
        <v>16</v>
      </c>
      <c r="E51" s="10" t="s">
        <v>92</v>
      </c>
    </row>
    <row r="52" customFormat="false" ht="31.5" hidden="false" customHeight="true" outlineLevel="0" collapsed="false">
      <c r="A52" s="7" t="s">
        <v>93</v>
      </c>
      <c r="B52" s="8" t="n">
        <v>12</v>
      </c>
      <c r="C52" s="8" t="n">
        <v>20</v>
      </c>
      <c r="D52" s="9" t="n">
        <f aca="false">ROUND(AVERAGE(B52,C52),0)</f>
        <v>16</v>
      </c>
      <c r="E52" s="10" t="s">
        <v>94</v>
      </c>
    </row>
    <row r="53" customFormat="false" ht="31.5" hidden="false" customHeight="true" outlineLevel="0" collapsed="false">
      <c r="A53" s="7" t="s">
        <v>95</v>
      </c>
      <c r="B53" s="8" t="n">
        <v>8</v>
      </c>
      <c r="C53" s="8" t="n">
        <v>12</v>
      </c>
      <c r="D53" s="9" t="n">
        <f aca="false">ROUND(AVERAGE(B53,C53),0)</f>
        <v>10</v>
      </c>
      <c r="E53" s="10" t="s">
        <v>96</v>
      </c>
    </row>
    <row r="54" customFormat="false" ht="31.5" hidden="false" customHeight="true" outlineLevel="0" collapsed="false">
      <c r="A54" s="7" t="s">
        <v>97</v>
      </c>
      <c r="B54" s="8" t="n">
        <v>10</v>
      </c>
      <c r="C54" s="8" t="n">
        <v>16</v>
      </c>
      <c r="D54" s="9" t="n">
        <f aca="false">ROUND(AVERAGE(B54,C54),0)</f>
        <v>13</v>
      </c>
      <c r="E54" s="10" t="s">
        <v>98</v>
      </c>
    </row>
    <row r="55" customFormat="false" ht="31.5" hidden="false" customHeight="true" outlineLevel="0" collapsed="false">
      <c r="A55" s="7" t="s">
        <v>99</v>
      </c>
      <c r="B55" s="8" t="n">
        <v>4</v>
      </c>
      <c r="C55" s="8" t="n">
        <v>8</v>
      </c>
      <c r="D55" s="9" t="n">
        <f aca="false">ROUND(AVERAGE(B55,C55),0)</f>
        <v>6</v>
      </c>
      <c r="E55" s="10" t="s">
        <v>100</v>
      </c>
    </row>
    <row r="56" customFormat="false" ht="31.5" hidden="false" customHeight="true" outlineLevel="0" collapsed="false">
      <c r="A56" s="7" t="s">
        <v>101</v>
      </c>
      <c r="B56" s="8" t="n">
        <v>8</v>
      </c>
      <c r="C56" s="8" t="n">
        <v>12</v>
      </c>
      <c r="D56" s="9" t="n">
        <f aca="false">ROUND(AVERAGE(B56,C56),0)</f>
        <v>10</v>
      </c>
      <c r="E56" s="10" t="s">
        <v>102</v>
      </c>
    </row>
    <row r="57" customFormat="false" ht="31.5" hidden="false" customHeight="true" outlineLevel="0" collapsed="false">
      <c r="A57" s="7" t="s">
        <v>45</v>
      </c>
      <c r="B57" s="8" t="n">
        <v>8</v>
      </c>
      <c r="C57" s="8" t="n">
        <v>12</v>
      </c>
      <c r="D57" s="9" t="n">
        <f aca="false">ROUND(AVERAGE(B57,C57),0)</f>
        <v>10</v>
      </c>
      <c r="E57" s="10" t="s">
        <v>103</v>
      </c>
    </row>
    <row r="58" customFormat="false" ht="25.5" hidden="false" customHeight="true" outlineLevel="0" collapsed="false">
      <c r="A58" s="11" t="s">
        <v>104</v>
      </c>
      <c r="B58" s="11" t="n">
        <f aca="false">SUM(B48:B57)</f>
        <v>110</v>
      </c>
      <c r="C58" s="11" t="n">
        <f aca="false">SUM(C48:C57)</f>
        <v>176</v>
      </c>
      <c r="D58" s="11" t="n">
        <f aca="false">ROUND(AVERAGE(B58,C58),0)</f>
        <v>143</v>
      </c>
      <c r="E58" s="12"/>
    </row>
    <row r="59" customFormat="false" ht="9.75" hidden="false" customHeight="true" outlineLevel="0" collapsed="false"/>
    <row r="60" customFormat="false" ht="27.75" hidden="false" customHeight="true" outlineLevel="0" collapsed="false">
      <c r="A60" s="5" t="s">
        <v>105</v>
      </c>
      <c r="B60" s="5"/>
      <c r="C60" s="5"/>
      <c r="D60" s="5"/>
      <c r="E60" s="6" t="s">
        <v>106</v>
      </c>
    </row>
    <row r="61" customFormat="false" ht="31.5" hidden="false" customHeight="true" outlineLevel="0" collapsed="false">
      <c r="A61" s="7" t="s">
        <v>107</v>
      </c>
      <c r="B61" s="8" t="n">
        <v>8</v>
      </c>
      <c r="C61" s="8" t="n">
        <v>16</v>
      </c>
      <c r="D61" s="9" t="n">
        <f aca="false">ROUND(AVERAGE(B61,C61),0)</f>
        <v>12</v>
      </c>
      <c r="E61" s="10" t="s">
        <v>108</v>
      </c>
    </row>
    <row r="62" customFormat="false" ht="31.5" hidden="false" customHeight="true" outlineLevel="0" collapsed="false">
      <c r="A62" s="7" t="s">
        <v>109</v>
      </c>
      <c r="B62" s="8" t="n">
        <v>4</v>
      </c>
      <c r="C62" s="8" t="n">
        <v>6</v>
      </c>
      <c r="D62" s="9" t="n">
        <f aca="false">ROUND(AVERAGE(B62,C62),0)</f>
        <v>5</v>
      </c>
      <c r="E62" s="10" t="s">
        <v>110</v>
      </c>
    </row>
    <row r="63" customFormat="false" ht="31.5" hidden="false" customHeight="true" outlineLevel="0" collapsed="false">
      <c r="A63" s="7" t="s">
        <v>111</v>
      </c>
      <c r="B63" s="8" t="n">
        <v>12</v>
      </c>
      <c r="C63" s="8" t="n">
        <v>20</v>
      </c>
      <c r="D63" s="9" t="n">
        <f aca="false">ROUND(AVERAGE(B63,C63),0)</f>
        <v>16</v>
      </c>
      <c r="E63" s="10" t="s">
        <v>112</v>
      </c>
    </row>
    <row r="64" customFormat="false" ht="31.5" hidden="false" customHeight="true" outlineLevel="0" collapsed="false">
      <c r="A64" s="7" t="s">
        <v>113</v>
      </c>
      <c r="B64" s="8" t="n">
        <v>24</v>
      </c>
      <c r="C64" s="8" t="n">
        <v>40</v>
      </c>
      <c r="D64" s="9" t="n">
        <f aca="false">ROUND(AVERAGE(B64,C64),0)</f>
        <v>32</v>
      </c>
      <c r="E64" s="10" t="s">
        <v>114</v>
      </c>
    </row>
    <row r="65" customFormat="false" ht="31.5" hidden="false" customHeight="true" outlineLevel="0" collapsed="false">
      <c r="A65" s="7" t="s">
        <v>115</v>
      </c>
      <c r="B65" s="8" t="n">
        <v>20</v>
      </c>
      <c r="C65" s="8" t="n">
        <v>40</v>
      </c>
      <c r="D65" s="9" t="n">
        <f aca="false">ROUND(AVERAGE(B65,C65),0)</f>
        <v>30</v>
      </c>
      <c r="E65" s="10" t="s">
        <v>116</v>
      </c>
    </row>
    <row r="66" customFormat="false" ht="31.5" hidden="false" customHeight="true" outlineLevel="0" collapsed="false">
      <c r="A66" s="7" t="s">
        <v>117</v>
      </c>
      <c r="B66" s="8" t="n">
        <v>16</v>
      </c>
      <c r="C66" s="8" t="n">
        <v>24</v>
      </c>
      <c r="D66" s="9" t="n">
        <f aca="false">ROUND(AVERAGE(B66,C66),0)</f>
        <v>20</v>
      </c>
      <c r="E66" s="10" t="s">
        <v>118</v>
      </c>
    </row>
    <row r="67" customFormat="false" ht="25.5" hidden="false" customHeight="true" outlineLevel="0" collapsed="false">
      <c r="A67" s="11" t="s">
        <v>119</v>
      </c>
      <c r="B67" s="11" t="n">
        <f aca="false">SUM(B61:B66)</f>
        <v>84</v>
      </c>
      <c r="C67" s="11" t="n">
        <f aca="false">SUM(C61:C66)</f>
        <v>146</v>
      </c>
      <c r="D67" s="11" t="n">
        <f aca="false">ROUND(AVERAGE(B67,C67),0)</f>
        <v>115</v>
      </c>
      <c r="E67" s="12"/>
    </row>
    <row r="68" customFormat="false" ht="9.75" hidden="false" customHeight="true" outlineLevel="0" collapsed="false"/>
    <row r="70" customFormat="false" ht="7.5" hidden="false" customHeight="true" outlineLevel="0" collapsed="false"/>
    <row r="71" customFormat="false" ht="33.75" hidden="false" customHeight="true" outlineLevel="0" collapsed="false">
      <c r="A71" s="13" t="s">
        <v>120</v>
      </c>
      <c r="B71" s="14" t="n">
        <f aca="false">B25+B45+B58+B67</f>
        <v>712</v>
      </c>
      <c r="C71" s="14" t="n">
        <f aca="false">C25+C45+C58+C67</f>
        <v>1160</v>
      </c>
      <c r="D71" s="14" t="n">
        <f aca="false">ROUND(AVERAGE(B71,C71),0)</f>
        <v>936</v>
      </c>
      <c r="E71" s="15"/>
    </row>
    <row r="73" customFormat="false" ht="27.75" hidden="false" customHeight="true" outlineLevel="0" collapsed="false">
      <c r="A73" s="16" t="s">
        <v>121</v>
      </c>
      <c r="B73" s="17"/>
      <c r="C73" s="17"/>
      <c r="D73" s="17"/>
      <c r="E73" s="17"/>
    </row>
    <row r="74" customFormat="false" ht="27.75" hidden="false" customHeight="true" outlineLevel="0" collapsed="false">
      <c r="A74" s="7" t="s">
        <v>122</v>
      </c>
      <c r="B74" s="18" t="n">
        <f aca="false">B71*125</f>
        <v>89000</v>
      </c>
      <c r="C74" s="18" t="n">
        <f aca="false">C71*125</f>
        <v>145000</v>
      </c>
      <c r="D74" s="19" t="n">
        <f aca="false">ROUND(AVERAGE(B74,C74),0)</f>
        <v>117000</v>
      </c>
      <c r="E74" s="10" t="s">
        <v>123</v>
      </c>
    </row>
    <row r="75" customFormat="false" ht="27.75" hidden="false" customHeight="true" outlineLevel="0" collapsed="false">
      <c r="A75" s="7" t="s">
        <v>124</v>
      </c>
      <c r="B75" s="18" t="n">
        <f aca="false">B71*175</f>
        <v>124600</v>
      </c>
      <c r="C75" s="18" t="n">
        <f aca="false">C71*175</f>
        <v>203000</v>
      </c>
      <c r="D75" s="19" t="n">
        <f aca="false">ROUND(AVERAGE(B75,C75),0)</f>
        <v>163800</v>
      </c>
      <c r="E75" s="10" t="s">
        <v>125</v>
      </c>
    </row>
    <row r="76" customFormat="false" ht="27.75" hidden="false" customHeight="true" outlineLevel="0" collapsed="false">
      <c r="A76" s="7" t="s">
        <v>126</v>
      </c>
      <c r="B76" s="18" t="n">
        <f aca="false">B71*225</f>
        <v>160200</v>
      </c>
      <c r="C76" s="18" t="n">
        <f aca="false">C71*225</f>
        <v>261000</v>
      </c>
      <c r="D76" s="19" t="n">
        <f aca="false">ROUND(AVERAGE(B76,C76),0)</f>
        <v>210600</v>
      </c>
      <c r="E76" s="10" t="s">
        <v>127</v>
      </c>
    </row>
    <row r="78" customFormat="false" ht="27.75" hidden="false" customHeight="true" outlineLevel="0" collapsed="false">
      <c r="A78" s="16" t="s">
        <v>128</v>
      </c>
      <c r="B78" s="17"/>
      <c r="C78" s="17"/>
      <c r="D78" s="17"/>
      <c r="E78" s="17"/>
    </row>
    <row r="79" customFormat="false" ht="27.75" hidden="false" customHeight="true" outlineLevel="0" collapsed="false">
      <c r="A79" s="7" t="s">
        <v>129</v>
      </c>
      <c r="B79" s="20" t="n">
        <f aca="false">ROUND(B71/160,1)</f>
        <v>4.5</v>
      </c>
      <c r="C79" s="20" t="n">
        <f aca="false">ROUND(C71/160,1)</f>
        <v>7.3</v>
      </c>
      <c r="D79" s="21" t="n">
        <f aca="false">ROUND(AVERAGE(B79,C79),1)</f>
        <v>5.9</v>
      </c>
      <c r="E79" s="10" t="s">
        <v>130</v>
      </c>
    </row>
    <row r="80" customFormat="false" ht="27.75" hidden="false" customHeight="true" outlineLevel="0" collapsed="false">
      <c r="A80" s="7" t="s">
        <v>131</v>
      </c>
      <c r="B80" s="20" t="n">
        <f aca="false">ROUND(B71/320,1)</f>
        <v>2.2</v>
      </c>
      <c r="C80" s="20" t="n">
        <f aca="false">ROUND(C71/320,1)</f>
        <v>3.6</v>
      </c>
      <c r="D80" s="21" t="n">
        <f aca="false">ROUND(AVERAGE(B80,C80),1)</f>
        <v>2.9</v>
      </c>
      <c r="E80" s="10" t="s">
        <v>132</v>
      </c>
    </row>
    <row r="81" customFormat="false" ht="27.75" hidden="false" customHeight="true" outlineLevel="0" collapsed="false">
      <c r="A81" s="7" t="s">
        <v>133</v>
      </c>
      <c r="B81" s="22" t="s">
        <v>134</v>
      </c>
      <c r="C81" s="22" t="s">
        <v>135</v>
      </c>
      <c r="D81" s="23"/>
      <c r="E81" s="10" t="s">
        <v>136</v>
      </c>
    </row>
    <row r="83" customFormat="false" ht="36" hidden="false" customHeight="true" outlineLevel="0" collapsed="false">
      <c r="A83" s="24" t="s">
        <v>137</v>
      </c>
      <c r="B83" s="24"/>
      <c r="C83" s="24"/>
      <c r="D83" s="24"/>
      <c r="E83" s="24"/>
    </row>
  </sheetData>
  <mergeCells count="7">
    <mergeCell ref="A1:E1"/>
    <mergeCell ref="A2:E2"/>
    <mergeCell ref="A5:D5"/>
    <mergeCell ref="A27:D27"/>
    <mergeCell ref="A47:D47"/>
    <mergeCell ref="A60:D60"/>
    <mergeCell ref="A83:E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2026-03-09T17:02:35Z</dcterms:created>
  <dc:creator>openpyxl</dc:creator>
  <dc:description/>
  <dc:language>en-US</dc:language>
  <cp:lastModifiedBy/>
  <dcterms:modified xsi:type="dcterms:W3CDTF">2026-03-09T17:02:35Z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